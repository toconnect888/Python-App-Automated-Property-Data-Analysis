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Business\TOCOnnect\Code\Python Practice\"/>
    </mc:Choice>
  </mc:AlternateContent>
  <xr:revisionPtr revIDLastSave="0" documentId="13_ncr:1_{C908C6F3-681D-475B-956D-1624DD437249}" xr6:coauthVersionLast="47" xr6:coauthVersionMax="47" xr10:uidLastSave="{00000000-0000-0000-0000-000000000000}"/>
  <bookViews>
    <workbookView xWindow="-16860" yWindow="1790" windowWidth="14400" windowHeight="7270" xr2:uid="{00000000-000D-0000-FFFF-FFFF00000000}"/>
  </bookViews>
  <sheets>
    <sheet name="Export1217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  <c r="A3" i="1" s="1" a="1"/>
  <c r="A3" i="1" s="1"/>
  <c r="A4" i="1" l="1" a="1"/>
  <c r="A4" i="1" s="1"/>
  <c r="A5" i="1" s="1" a="1"/>
  <c r="A5" i="1" s="1"/>
  <c r="A6" i="1" l="1" a="1"/>
  <c r="A6" i="1" s="1"/>
  <c r="A7" i="1" a="1"/>
  <c r="A7" i="1" s="1"/>
  <c r="A8" i="1" l="1" a="1"/>
  <c r="A8" i="1" s="1"/>
  <c r="A9" i="1" l="1" a="1"/>
  <c r="A9" i="1" s="1"/>
  <c r="A10" i="1" s="1" a="1"/>
  <c r="A1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<sst xmlns="http://schemas.openxmlformats.org/spreadsheetml/2006/main" count="58" uniqueCount="35">
  <si>
    <t>City</t>
  </si>
  <si>
    <t>Submarket Name</t>
  </si>
  <si>
    <t>Building Class</t>
  </si>
  <si>
    <t>RBA</t>
  </si>
  <si>
    <t>Number Of Stories</t>
  </si>
  <si>
    <t>Typical Floor Size</t>
  </si>
  <si>
    <t>Year Built</t>
  </si>
  <si>
    <t>Total Available Space (SF)</t>
  </si>
  <si>
    <t>Direct Available Space</t>
  </si>
  <si>
    <t>Percent Leased</t>
  </si>
  <si>
    <t>Rent/SF/Yr</t>
  </si>
  <si>
    <t>5925 Airport Rd</t>
  </si>
  <si>
    <t>Mississauga</t>
  </si>
  <si>
    <t>Airport Corp Centre/Airport</t>
  </si>
  <si>
    <t>B</t>
  </si>
  <si>
    <t>$13.50</t>
  </si>
  <si>
    <t>5935 Airport Rd</t>
  </si>
  <si>
    <t>6303 Airport Rd</t>
  </si>
  <si>
    <t>10 Carlson Crt</t>
  </si>
  <si>
    <t>Toronto</t>
  </si>
  <si>
    <t>$21.50</t>
  </si>
  <si>
    <t>5090 Commerce Blvd</t>
  </si>
  <si>
    <t>C</t>
  </si>
  <si>
    <t>$25.47 - 31.12 (Est.)</t>
  </si>
  <si>
    <t>5110 Creekbank Rd</t>
  </si>
  <si>
    <t>A</t>
  </si>
  <si>
    <t>$17.46 - 21.34 (Est.)</t>
  </si>
  <si>
    <t>5090 Explorer Dr</t>
  </si>
  <si>
    <t>$18.50</t>
  </si>
  <si>
    <t>5520 Explorer Dr</t>
  </si>
  <si>
    <t>$19.50</t>
  </si>
  <si>
    <t>5560 Explorer Dr</t>
  </si>
  <si>
    <t>$18.50 - 19.50</t>
  </si>
  <si>
    <t>No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</si>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</sst>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4" fontId="0" fillId="0" borderId="0" xfId="0" applyNumberFormat="1"/>
    <xf numFmtId="0" fontId="1" fillId="0" borderId="0" xfId="0" applyFont="1"/>
    <xf numFmtId="1" fontId="1" fillId="0" borderId="0" xfId="0" applyNumberFormat="1" applyFont="1"/>
    <xf numFmtId="4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topLeftCell="A4" workbookViewId="0">
      <selection activeCell="A11" sqref="A11:XFD15"/>
    </sheetView>
  </sheetViews>
  <sheetFormatPr defaultRowHeight="14.5" x14ac:dyDescent="0.35"/>
  <cols>
    <col min="1" max="1" width="5" style="6" customWidth="1"/>
    <col min="2" max="2" width="20.7265625" bestFit="1" customWidth="1"/>
    <col min="3" max="3" width="11.453125" bestFit="1" customWidth="1"/>
    <col min="4" max="4" width="25.453125" bestFit="1" customWidth="1"/>
    <col min="5" max="5" width="13.26953125" bestFit="1" customWidth="1"/>
    <col min="6" max="6" width="7.54296875" bestFit="1" customWidth="1"/>
    <col min="7" max="7" width="17.7265625" style="1" bestFit="1" customWidth="1"/>
    <col min="8" max="8" width="16.453125" bestFit="1" customWidth="1"/>
    <col min="9" max="9" width="9.7265625" style="1" bestFit="1" customWidth="1"/>
    <col min="10" max="10" width="24" bestFit="1" customWidth="1"/>
    <col min="11" max="11" width="21" bestFit="1" customWidth="1"/>
    <col min="12" max="12" width="14.54296875" style="2" bestFit="1" customWidth="1"/>
    <col min="13" max="13" width="18.54296875" bestFit="1" customWidth="1"/>
  </cols>
  <sheetData>
    <row r="1" spans="1:13" x14ac:dyDescent="0.35">
      <c r="A1" s="6" t="s">
        <v>33</v>
      </c>
      <c r="B1" s="3" t="s">
        <v>34</v>
      </c>
      <c r="C1" s="3" t="s">
        <v>0</v>
      </c>
      <c r="D1" s="3" t="s">
        <v>1</v>
      </c>
      <c r="E1" s="3" t="s">
        <v>2</v>
      </c>
      <c r="F1" s="3" t="s">
        <v>3</v>
      </c>
      <c r="G1" s="4" t="s">
        <v>4</v>
      </c>
      <c r="H1" s="3" t="s">
        <v>5</v>
      </c>
      <c r="I1" s="4" t="s">
        <v>6</v>
      </c>
      <c r="J1" s="3" t="s">
        <v>7</v>
      </c>
      <c r="K1" s="3" t="s">
        <v>8</v>
      </c>
      <c r="L1" s="5" t="s">
        <v>9</v>
      </c>
      <c r="M1" s="3" t="s">
        <v>10</v>
      </c>
    </row>
    <row r="2" spans="1:13" x14ac:dyDescent="0.35">
      <c r="A2" s="6" cm="1">
        <f t="array" ref="A2">IF(COUNTIF($B$2:B2,B2)=1,MAX($A$1:A1)+1, _xlfn.XLOOKUP(B2,$B1:B$2,$A1:A$2))</f>
        <v>1</v>
      </c>
      <c r="B2" t="s">
        <v>11</v>
      </c>
      <c r="C2" t="s">
        <v>12</v>
      </c>
      <c r="D2" t="s">
        <v>13</v>
      </c>
      <c r="E2" t="s">
        <v>14</v>
      </c>
      <c r="F2">
        <v>163312</v>
      </c>
      <c r="G2" s="1">
        <v>10</v>
      </c>
      <c r="H2">
        <v>16331</v>
      </c>
      <c r="I2" s="1">
        <v>1982</v>
      </c>
      <c r="J2">
        <v>102100</v>
      </c>
      <c r="K2">
        <v>102100</v>
      </c>
      <c r="L2" s="2">
        <v>69.73</v>
      </c>
      <c r="M2" t="s">
        <v>15</v>
      </c>
    </row>
    <row r="3" spans="1:13" x14ac:dyDescent="0.35">
      <c r="A3" s="6" cm="1">
        <f t="array" ref="A3">IF(COUNTIF($B$2:B3,B3)=1,MAX($A$1:A2)+1, _xlfn.XLOOKUP(B3,$B2:B$2,$A2:A$2))</f>
        <v>2</v>
      </c>
      <c r="B3" t="s">
        <v>16</v>
      </c>
      <c r="C3" t="s">
        <v>12</v>
      </c>
      <c r="D3" t="s">
        <v>13</v>
      </c>
      <c r="E3" t="s">
        <v>14</v>
      </c>
      <c r="F3">
        <v>183952</v>
      </c>
      <c r="G3" s="1">
        <v>11</v>
      </c>
      <c r="H3">
        <v>18395</v>
      </c>
      <c r="I3" s="1">
        <v>1982</v>
      </c>
      <c r="J3">
        <v>68492</v>
      </c>
      <c r="K3">
        <v>42148</v>
      </c>
      <c r="L3" s="2">
        <v>77.09</v>
      </c>
      <c r="M3" t="s">
        <v>15</v>
      </c>
    </row>
    <row r="4" spans="1:13" x14ac:dyDescent="0.35">
      <c r="A4" s="6" cm="1">
        <f t="array" ref="A4">IF(COUNTIF($B$2:B4,B4)=1,MAX($A$1:A3)+1, _xlfn.XLOOKUP(B4,$B$2:B3,$A$2:A3))</f>
        <v>3</v>
      </c>
      <c r="B4" t="s">
        <v>17</v>
      </c>
      <c r="C4" t="s">
        <v>12</v>
      </c>
      <c r="D4" t="s">
        <v>13</v>
      </c>
      <c r="E4" t="s">
        <v>14</v>
      </c>
      <c r="F4">
        <v>81315</v>
      </c>
      <c r="G4" s="1">
        <v>5</v>
      </c>
      <c r="H4">
        <v>16263</v>
      </c>
      <c r="I4" s="1">
        <v>1975</v>
      </c>
      <c r="J4">
        <v>46769</v>
      </c>
      <c r="K4">
        <v>46769</v>
      </c>
      <c r="L4" s="2">
        <v>42.48</v>
      </c>
      <c r="M4" t="s">
        <v>15</v>
      </c>
    </row>
    <row r="5" spans="1:13" x14ac:dyDescent="0.35">
      <c r="A5" s="6" cm="1">
        <f t="array" ref="A5">IF(COUNTIF($B$2:B5,B5)=1,MAX($A$1:A4)+1, _xlfn.XLOOKUP(B5,$B$2:B4,$A$2:A4))</f>
        <v>4</v>
      </c>
      <c r="B5" t="s">
        <v>18</v>
      </c>
      <c r="C5" t="s">
        <v>19</v>
      </c>
      <c r="D5" t="s">
        <v>13</v>
      </c>
      <c r="E5" t="s">
        <v>14</v>
      </c>
      <c r="F5">
        <v>159259</v>
      </c>
      <c r="G5" s="1">
        <v>8</v>
      </c>
      <c r="H5">
        <v>19907</v>
      </c>
      <c r="I5" s="1">
        <v>1985</v>
      </c>
      <c r="J5">
        <v>48876</v>
      </c>
      <c r="K5">
        <v>26506</v>
      </c>
      <c r="L5" s="2">
        <v>87.84</v>
      </c>
      <c r="M5" t="s">
        <v>20</v>
      </c>
    </row>
    <row r="6" spans="1:13" x14ac:dyDescent="0.35">
      <c r="A6" s="6" cm="1">
        <f t="array" ref="A6">IF(COUNTIF($B$2:B6,B6)=1,MAX($A$1:A5)+1, _xlfn.XLOOKUP(B6,$B$2:B5,$A$2:A5))</f>
        <v>5</v>
      </c>
      <c r="B6" t="s">
        <v>21</v>
      </c>
      <c r="C6" t="s">
        <v>12</v>
      </c>
      <c r="D6" t="s">
        <v>13</v>
      </c>
      <c r="E6" t="s">
        <v>22</v>
      </c>
      <c r="F6">
        <v>42748</v>
      </c>
      <c r="G6" s="1">
        <v>2</v>
      </c>
      <c r="H6">
        <v>21374</v>
      </c>
      <c r="I6" s="1">
        <v>1999</v>
      </c>
      <c r="J6">
        <v>21374</v>
      </c>
      <c r="K6">
        <v>0</v>
      </c>
      <c r="L6" s="2">
        <v>100</v>
      </c>
      <c r="M6" t="s">
        <v>23</v>
      </c>
    </row>
    <row r="7" spans="1:13" x14ac:dyDescent="0.35">
      <c r="A7" s="6" cm="1">
        <f t="array" ref="A7">IF(COUNTIF($B$2:B7,B7)=1,MAX($A$1:A6)+1, _xlfn.XLOOKUP(B7,$B$2:B6,$A$2:A6))</f>
        <v>6</v>
      </c>
      <c r="B7" t="s">
        <v>24</v>
      </c>
      <c r="C7" t="s">
        <v>12</v>
      </c>
      <c r="D7" t="s">
        <v>12</v>
      </c>
      <c r="E7" t="s">
        <v>25</v>
      </c>
      <c r="F7">
        <v>101000</v>
      </c>
      <c r="G7" s="1">
        <v>1</v>
      </c>
      <c r="H7">
        <v>101000</v>
      </c>
      <c r="I7" s="1">
        <v>2005</v>
      </c>
      <c r="J7">
        <v>94962</v>
      </c>
      <c r="K7">
        <v>0</v>
      </c>
      <c r="L7" s="2">
        <v>100</v>
      </c>
      <c r="M7" t="s">
        <v>26</v>
      </c>
    </row>
    <row r="8" spans="1:13" x14ac:dyDescent="0.35">
      <c r="A8" s="6" cm="1">
        <f t="array" ref="A8">IF(COUNTIF($B$2:B8,B8)=1,MAX($A$1:A7)+1, _xlfn.XLOOKUP(B8,$B$2:B7,$A$2:A7))</f>
        <v>7</v>
      </c>
      <c r="B8" t="s">
        <v>27</v>
      </c>
      <c r="C8" t="s">
        <v>12</v>
      </c>
      <c r="D8" t="s">
        <v>13</v>
      </c>
      <c r="E8" t="s">
        <v>25</v>
      </c>
      <c r="F8">
        <v>169154</v>
      </c>
      <c r="G8" s="1">
        <v>10</v>
      </c>
      <c r="H8">
        <v>19600</v>
      </c>
      <c r="I8" s="1">
        <v>1988</v>
      </c>
      <c r="J8">
        <v>50930</v>
      </c>
      <c r="K8">
        <v>50930</v>
      </c>
      <c r="L8" s="2">
        <v>80.22</v>
      </c>
      <c r="M8" t="s">
        <v>28</v>
      </c>
    </row>
    <row r="9" spans="1:13" x14ac:dyDescent="0.35">
      <c r="A9" s="6" cm="1">
        <f t="array" ref="A9">IF(COUNTIF($B$2:B9,B9)=1,MAX($A$1:A8)+1, _xlfn.XLOOKUP(B9,$B$2:B8,$A$2:A8))</f>
        <v>8</v>
      </c>
      <c r="B9" t="s">
        <v>29</v>
      </c>
      <c r="C9" t="s">
        <v>12</v>
      </c>
      <c r="D9" t="s">
        <v>13</v>
      </c>
      <c r="E9" t="s">
        <v>25</v>
      </c>
      <c r="F9">
        <v>101116</v>
      </c>
      <c r="G9" s="1">
        <v>4</v>
      </c>
      <c r="H9">
        <v>25500</v>
      </c>
      <c r="I9" s="1">
        <v>2000</v>
      </c>
      <c r="J9">
        <v>58604</v>
      </c>
      <c r="K9">
        <v>58604</v>
      </c>
      <c r="L9" s="2">
        <v>45.41</v>
      </c>
      <c r="M9" t="s">
        <v>30</v>
      </c>
    </row>
    <row r="10" spans="1:13" x14ac:dyDescent="0.35">
      <c r="A10" s="6" cm="1">
        <f t="array" ref="A10">IF(COUNTIF($B$2:B10,B10)=1,MAX($A$1:A9)+1, _xlfn.XLOOKUP(B10,$B$2:B9,$A$2:A9))</f>
        <v>9</v>
      </c>
      <c r="B10" t="s">
        <v>31</v>
      </c>
      <c r="C10" t="s">
        <v>12</v>
      </c>
      <c r="D10" t="s">
        <v>13</v>
      </c>
      <c r="E10" t="s">
        <v>25</v>
      </c>
      <c r="F10">
        <v>126435</v>
      </c>
      <c r="G10" s="1">
        <v>4</v>
      </c>
      <c r="H10">
        <v>25246</v>
      </c>
      <c r="I10" s="1">
        <v>2000</v>
      </c>
      <c r="J10">
        <v>36996</v>
      </c>
      <c r="K10">
        <v>36996</v>
      </c>
      <c r="L10" s="2">
        <v>70.739999999999995</v>
      </c>
      <c r="M1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Export121725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Gia Chen</cp:lastModifiedBy>
  <dcterms:created xsi:type="dcterms:W3CDTF">2025-12-17T14:15:40Z</dcterms:created>
  <dcterms:modified xsi:type="dcterms:W3CDTF">2025-12-17T19:03:07Z</dcterms:modified>
</cp:coreProperties>
</file>