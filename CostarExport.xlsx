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Business\TOCOnnect\Code\Python Practice\"/>
    </mc:Choice>
  </mc:AlternateContent>
  <xr:revisionPtr revIDLastSave="0" documentId="13_ncr:1_{23F20C08-E28C-438A-A002-3D24ADD0F8B9}" xr6:coauthVersionLast="47" xr6:coauthVersionMax="47" xr10:uidLastSave="{00000000-0000-0000-0000-000000000000}"/>
  <bookViews>
    <workbookView xWindow="-19310" yWindow="-110" windowWidth="19420" windowHeight="10300" xr2:uid="{00000000-000D-0000-FFFF-FFFF00000000}"/>
  </bookViews>
  <sheets>
    <sheet name="Export0206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 s="1"/>
  <c r="A16" i="1" s="1"/>
  <c r="A17" i="1" s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K3" i="1"/>
  <c r="K4" i="1"/>
  <c r="K5" i="1"/>
  <c r="K6" i="1"/>
  <c r="K7" i="1"/>
  <c r="K8" i="1"/>
  <c r="K9" i="1"/>
  <c r="K10" i="1"/>
  <c r="K11" i="1"/>
  <c r="K12" i="1"/>
  <c r="K13" i="1"/>
  <c r="K14" i="1"/>
  <c r="K16" i="1"/>
  <c r="K17" i="1"/>
  <c r="M2" i="1"/>
  <c r="K2" i="1"/>
  <c r="A3" i="1"/>
  <c r="A4" i="1" s="1"/>
  <c r="A5" i="1" s="1"/>
  <c r="A6" i="1" s="1"/>
  <c r="A7" i="1" s="1"/>
  <c r="A8" i="1" s="1"/>
  <c r="A9" i="1" s="1"/>
  <c r="A10" i="1" s="1"/>
  <c r="A11" i="1" s="1"/>
  <c r="A12" i="1" s="1"/>
</calcChain>
</file>

<file path=xl/sharedStrings.xml><?xml version="1.0" encoding="utf-8"?>
<sst xmlns="http://schemas.openxmlformats.org/spreadsheetml/2006/main" count="78" uniqueCount="37">
  <si>
    <t>City</t>
  </si>
  <si>
    <t>Submarket Name</t>
  </si>
  <si>
    <t>Building Class</t>
  </si>
  <si>
    <t>RBA</t>
  </si>
  <si>
    <t>Number Of Stories</t>
  </si>
  <si>
    <t>Typical Floor Size</t>
  </si>
  <si>
    <t>Year Built</t>
  </si>
  <si>
    <t>Total Available Space (SF)</t>
  </si>
  <si>
    <t>Direct Available Space</t>
  </si>
  <si>
    <t>TMI</t>
  </si>
  <si>
    <t>200 Consumers Rd</t>
  </si>
  <si>
    <t>Toronto</t>
  </si>
  <si>
    <t>East Toronto</t>
  </si>
  <si>
    <t>C</t>
  </si>
  <si>
    <t>2235 Sheppard Ave E</t>
  </si>
  <si>
    <t>A</t>
  </si>
  <si>
    <t>5255 Yonge St</t>
  </si>
  <si>
    <t>North Toronto</t>
  </si>
  <si>
    <t>235 Yorkland Blvd</t>
  </si>
  <si>
    <t>B</t>
  </si>
  <si>
    <t>515 Consumers Rd</t>
  </si>
  <si>
    <t>505 Consumers Rd</t>
  </si>
  <si>
    <t>100 Sheppard Ave E</t>
  </si>
  <si>
    <t>1500 Don Mills Rd</t>
  </si>
  <si>
    <t>4211 Yonge St</t>
  </si>
  <si>
    <t>885 Don Mills Rd</t>
  </si>
  <si>
    <t>2345 Yonge St</t>
  </si>
  <si>
    <t>Midtown</t>
  </si>
  <si>
    <t>No</t>
  </si>
  <si>
    <t xml:space="preserve">Total Available Rate </t>
  </si>
  <si>
    <t>Direct Available Rate</t>
  </si>
  <si>
    <t>Address</t>
  </si>
  <si>
    <t>245 Fairview Mall Dr</t>
  </si>
  <si>
    <t>2005 Sheppard Ave E</t>
  </si>
  <si>
    <t>200 Yorkland Blvd</t>
  </si>
  <si>
    <t>5075 Yonge St</t>
  </si>
  <si>
    <t>4141 Yonge 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</si>
</sst>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" x14ac:knownFonts="1">
    <font>
      <sz val="11"/>
      <color theme="1"/>
      <name val="Calibri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preadsheetLight Office">
  <a:themeElements>
    <a:clrScheme name="SpreadsheetLight 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preadsheetLigh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SpreadsheetLigh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tabSelected="1" topLeftCell="D1" zoomScaleNormal="100" workbookViewId="0">
      <selection activeCell="O1" sqref="O1"/>
    </sheetView>
  </sheetViews>
  <sheetFormatPr defaultRowHeight="14.5" x14ac:dyDescent="0.35"/>
  <cols>
    <col min="2" max="2" width="19.7265625" bestFit="1" customWidth="1"/>
    <col min="3" max="3" width="8.1796875" bestFit="1" customWidth="1"/>
    <col min="4" max="4" width="16.7265625" bestFit="1" customWidth="1"/>
    <col min="5" max="5" width="13.26953125" bestFit="1" customWidth="1"/>
    <col min="6" max="6" width="7.54296875" bestFit="1" customWidth="1"/>
    <col min="7" max="7" width="17.7265625" style="1" bestFit="1" customWidth="1"/>
    <col min="8" max="8" width="16.453125" bestFit="1" customWidth="1"/>
    <col min="9" max="9" width="9.7265625" style="1" bestFit="1" customWidth="1"/>
    <col min="10" max="10" width="24" bestFit="1" customWidth="1"/>
    <col min="11" max="11" width="24" customWidth="1"/>
    <col min="12" max="12" width="21" bestFit="1" customWidth="1"/>
    <col min="13" max="13" width="21" customWidth="1"/>
    <col min="14" max="14" width="7.1796875" style="2" bestFit="1" customWidth="1"/>
  </cols>
  <sheetData>
    <row r="1" spans="1:14" x14ac:dyDescent="0.35">
      <c r="A1" t="s">
        <v>28</v>
      </c>
      <c r="B1" s="3" t="s">
        <v>31</v>
      </c>
      <c r="C1" s="3" t="s">
        <v>0</v>
      </c>
      <c r="D1" s="3" t="s">
        <v>1</v>
      </c>
      <c r="E1" s="3" t="s">
        <v>2</v>
      </c>
      <c r="F1" s="3" t="s">
        <v>3</v>
      </c>
      <c r="G1" s="4" t="s">
        <v>4</v>
      </c>
      <c r="H1" s="3" t="s">
        <v>5</v>
      </c>
      <c r="I1" s="4" t="s">
        <v>6</v>
      </c>
      <c r="J1" s="3" t="s">
        <v>7</v>
      </c>
      <c r="K1" s="3" t="s">
        <v>29</v>
      </c>
      <c r="L1" s="3" t="s">
        <v>8</v>
      </c>
      <c r="M1" s="3" t="s">
        <v>30</v>
      </c>
      <c r="N1" s="5" t="s">
        <v>9</v>
      </c>
    </row>
    <row r="2" spans="1:14" x14ac:dyDescent="0.35">
      <c r="A2">
        <v>1</v>
      </c>
      <c r="B2" t="s">
        <v>32</v>
      </c>
      <c r="C2" t="s">
        <v>11</v>
      </c>
      <c r="D2" t="s">
        <v>12</v>
      </c>
      <c r="E2" t="s">
        <v>19</v>
      </c>
      <c r="F2">
        <v>106122</v>
      </c>
      <c r="G2" s="1">
        <v>7</v>
      </c>
      <c r="H2">
        <v>15160</v>
      </c>
      <c r="I2" s="1">
        <v>1975</v>
      </c>
      <c r="J2">
        <v>6879</v>
      </c>
      <c r="K2">
        <f>J2/F2</f>
        <v>6.4821620399163227E-2</v>
      </c>
      <c r="L2">
        <v>6879</v>
      </c>
      <c r="M2">
        <f>L2/F2</f>
        <v>6.4821620399163227E-2</v>
      </c>
      <c r="N2" s="2">
        <v>15.97</v>
      </c>
    </row>
    <row r="3" spans="1:14" x14ac:dyDescent="0.35">
      <c r="A3">
        <f>1+A2</f>
        <v>2</v>
      </c>
      <c r="B3" t="s">
        <v>33</v>
      </c>
      <c r="C3" t="s">
        <v>11</v>
      </c>
      <c r="D3" t="s">
        <v>12</v>
      </c>
      <c r="E3" t="s">
        <v>19</v>
      </c>
      <c r="F3">
        <v>158968</v>
      </c>
      <c r="G3" s="1">
        <v>8</v>
      </c>
      <c r="H3">
        <v>19871</v>
      </c>
      <c r="I3" s="1">
        <v>1988</v>
      </c>
      <c r="J3">
        <v>37923</v>
      </c>
      <c r="K3">
        <f t="shared" ref="K3:K17" si="0">J3/F3</f>
        <v>0.2385574455236274</v>
      </c>
      <c r="L3">
        <v>37923</v>
      </c>
      <c r="M3">
        <f t="shared" ref="M3:M17" si="1">L3/F3</f>
        <v>0.2385574455236274</v>
      </c>
      <c r="N3" s="2">
        <v>19.79</v>
      </c>
    </row>
    <row r="4" spans="1:14" x14ac:dyDescent="0.35">
      <c r="A4">
        <f t="shared" ref="A4:A17" si="2">1+A3</f>
        <v>3</v>
      </c>
      <c r="B4" t="s">
        <v>10</v>
      </c>
      <c r="C4" t="s">
        <v>11</v>
      </c>
      <c r="D4" t="s">
        <v>12</v>
      </c>
      <c r="E4" t="s">
        <v>13</v>
      </c>
      <c r="F4">
        <v>130707</v>
      </c>
      <c r="G4" s="1">
        <v>9</v>
      </c>
      <c r="H4">
        <v>13876</v>
      </c>
      <c r="I4" s="1">
        <v>1974</v>
      </c>
      <c r="J4">
        <v>19649</v>
      </c>
      <c r="K4">
        <f t="shared" si="0"/>
        <v>0.15032859755024597</v>
      </c>
      <c r="L4">
        <v>13692</v>
      </c>
      <c r="M4">
        <f t="shared" si="1"/>
        <v>0.10475337969657325</v>
      </c>
      <c r="N4" s="2">
        <v>22.85</v>
      </c>
    </row>
    <row r="5" spans="1:14" x14ac:dyDescent="0.35">
      <c r="A5">
        <f t="shared" si="2"/>
        <v>4</v>
      </c>
      <c r="B5" t="s">
        <v>14</v>
      </c>
      <c r="C5" t="s">
        <v>11</v>
      </c>
      <c r="D5" t="s">
        <v>12</v>
      </c>
      <c r="E5" t="s">
        <v>15</v>
      </c>
      <c r="F5">
        <v>342781</v>
      </c>
      <c r="G5" s="1">
        <v>18</v>
      </c>
      <c r="H5">
        <v>21232</v>
      </c>
      <c r="I5" s="1">
        <v>1987</v>
      </c>
      <c r="J5">
        <v>147709</v>
      </c>
      <c r="K5">
        <f t="shared" si="0"/>
        <v>0.43091361539875311</v>
      </c>
      <c r="L5">
        <v>131262</v>
      </c>
      <c r="M5">
        <f t="shared" si="1"/>
        <v>0.38293254293557694</v>
      </c>
      <c r="N5" s="2">
        <v>17.489999999999998</v>
      </c>
    </row>
    <row r="6" spans="1:14" x14ac:dyDescent="0.35">
      <c r="A6">
        <f t="shared" si="2"/>
        <v>5</v>
      </c>
      <c r="B6" t="s">
        <v>16</v>
      </c>
      <c r="C6" t="s">
        <v>11</v>
      </c>
      <c r="D6" t="s">
        <v>17</v>
      </c>
      <c r="E6" t="s">
        <v>15</v>
      </c>
      <c r="F6">
        <v>261938</v>
      </c>
      <c r="G6" s="1">
        <v>15</v>
      </c>
      <c r="H6">
        <v>18738</v>
      </c>
      <c r="I6" s="1">
        <v>1990</v>
      </c>
      <c r="J6">
        <v>125851</v>
      </c>
      <c r="K6">
        <f t="shared" si="0"/>
        <v>0.48046102512808375</v>
      </c>
      <c r="L6">
        <v>122631</v>
      </c>
      <c r="M6">
        <f t="shared" si="1"/>
        <v>0.46816803976513527</v>
      </c>
      <c r="N6" s="2">
        <v>13.53</v>
      </c>
    </row>
    <row r="7" spans="1:14" x14ac:dyDescent="0.35">
      <c r="A7">
        <f t="shared" si="2"/>
        <v>6</v>
      </c>
      <c r="B7" t="s">
        <v>18</v>
      </c>
      <c r="C7" t="s">
        <v>11</v>
      </c>
      <c r="D7" t="s">
        <v>12</v>
      </c>
      <c r="E7" t="s">
        <v>19</v>
      </c>
      <c r="F7">
        <v>178782</v>
      </c>
      <c r="G7" s="1">
        <v>12</v>
      </c>
      <c r="H7">
        <v>14898</v>
      </c>
      <c r="I7" s="1">
        <v>1981</v>
      </c>
      <c r="J7">
        <v>68949</v>
      </c>
      <c r="K7">
        <f t="shared" si="0"/>
        <v>0.38565963016411048</v>
      </c>
      <c r="L7">
        <v>53271</v>
      </c>
      <c r="M7">
        <f t="shared" si="1"/>
        <v>0.29796623821190055</v>
      </c>
      <c r="N7" s="2">
        <v>13.53</v>
      </c>
    </row>
    <row r="8" spans="1:14" x14ac:dyDescent="0.35">
      <c r="A8">
        <f t="shared" si="2"/>
        <v>7</v>
      </c>
      <c r="B8" t="s">
        <v>34</v>
      </c>
      <c r="C8" t="s">
        <v>11</v>
      </c>
      <c r="D8" t="s">
        <v>12</v>
      </c>
      <c r="E8" t="s">
        <v>15</v>
      </c>
      <c r="F8">
        <v>171341</v>
      </c>
      <c r="G8" s="1">
        <v>11</v>
      </c>
      <c r="H8">
        <v>14500</v>
      </c>
      <c r="I8" s="1">
        <v>1984</v>
      </c>
      <c r="J8">
        <v>49663</v>
      </c>
      <c r="K8">
        <f t="shared" si="0"/>
        <v>0.2898488978119656</v>
      </c>
      <c r="L8">
        <v>49663</v>
      </c>
      <c r="M8">
        <f t="shared" si="1"/>
        <v>0.2898488978119656</v>
      </c>
      <c r="N8" s="2">
        <v>22.69</v>
      </c>
    </row>
    <row r="9" spans="1:14" x14ac:dyDescent="0.35">
      <c r="A9">
        <f t="shared" si="2"/>
        <v>8</v>
      </c>
      <c r="B9" t="s">
        <v>20</v>
      </c>
      <c r="C9" t="s">
        <v>11</v>
      </c>
      <c r="D9" t="s">
        <v>12</v>
      </c>
      <c r="E9" t="s">
        <v>19</v>
      </c>
      <c r="F9">
        <v>85250</v>
      </c>
      <c r="G9" s="1">
        <v>7</v>
      </c>
      <c r="H9">
        <v>12179</v>
      </c>
      <c r="I9" s="1">
        <v>1984</v>
      </c>
      <c r="J9">
        <v>47656</v>
      </c>
      <c r="K9">
        <f t="shared" si="0"/>
        <v>0.55901466275659828</v>
      </c>
      <c r="L9">
        <v>47656</v>
      </c>
      <c r="M9">
        <f t="shared" si="1"/>
        <v>0.55901466275659828</v>
      </c>
      <c r="N9" s="2">
        <v>20.32</v>
      </c>
    </row>
    <row r="10" spans="1:14" x14ac:dyDescent="0.35">
      <c r="A10">
        <f t="shared" si="2"/>
        <v>9</v>
      </c>
      <c r="B10" t="s">
        <v>21</v>
      </c>
      <c r="C10" t="s">
        <v>11</v>
      </c>
      <c r="D10" t="s">
        <v>12</v>
      </c>
      <c r="E10" t="s">
        <v>19</v>
      </c>
      <c r="F10">
        <v>158000</v>
      </c>
      <c r="G10" s="1">
        <v>11</v>
      </c>
      <c r="H10">
        <v>14363</v>
      </c>
      <c r="I10" s="1">
        <v>1980</v>
      </c>
      <c r="J10">
        <v>50092</v>
      </c>
      <c r="K10">
        <f t="shared" si="0"/>
        <v>0.31703797468354428</v>
      </c>
      <c r="L10">
        <v>50092</v>
      </c>
      <c r="M10">
        <f t="shared" si="1"/>
        <v>0.31703797468354428</v>
      </c>
      <c r="N10" s="2">
        <v>18.89</v>
      </c>
    </row>
    <row r="11" spans="1:14" x14ac:dyDescent="0.35">
      <c r="A11">
        <f t="shared" si="2"/>
        <v>10</v>
      </c>
      <c r="B11" t="s">
        <v>35</v>
      </c>
      <c r="C11" t="s">
        <v>11</v>
      </c>
      <c r="D11" t="s">
        <v>17</v>
      </c>
      <c r="E11" t="s">
        <v>19</v>
      </c>
      <c r="F11">
        <v>86841</v>
      </c>
      <c r="G11" s="1">
        <v>11</v>
      </c>
      <c r="H11">
        <v>7895</v>
      </c>
      <c r="I11" s="1">
        <v>1979</v>
      </c>
      <c r="J11">
        <v>3894</v>
      </c>
      <c r="K11">
        <f t="shared" si="0"/>
        <v>4.4840570698172523E-2</v>
      </c>
      <c r="L11">
        <v>3894</v>
      </c>
      <c r="M11">
        <f t="shared" si="1"/>
        <v>4.4840570698172523E-2</v>
      </c>
      <c r="N11" s="2">
        <v>13.8</v>
      </c>
    </row>
    <row r="12" spans="1:14" x14ac:dyDescent="0.35">
      <c r="A12">
        <f t="shared" si="2"/>
        <v>11</v>
      </c>
      <c r="B12" t="s">
        <v>22</v>
      </c>
      <c r="C12" t="s">
        <v>11</v>
      </c>
      <c r="D12" t="s">
        <v>17</v>
      </c>
      <c r="E12" t="s">
        <v>15</v>
      </c>
      <c r="F12">
        <v>280000</v>
      </c>
      <c r="G12" s="1">
        <v>12</v>
      </c>
      <c r="H12">
        <v>23333</v>
      </c>
      <c r="I12" s="1">
        <v>1989</v>
      </c>
      <c r="J12">
        <v>112358</v>
      </c>
      <c r="K12">
        <f t="shared" si="0"/>
        <v>0.40127857142857143</v>
      </c>
      <c r="L12">
        <v>112358</v>
      </c>
      <c r="M12">
        <f t="shared" si="1"/>
        <v>0.40127857142857143</v>
      </c>
      <c r="N12" s="2">
        <v>24.51</v>
      </c>
    </row>
    <row r="13" spans="1:14" x14ac:dyDescent="0.35">
      <c r="A13">
        <f t="shared" si="2"/>
        <v>12</v>
      </c>
      <c r="B13" t="s">
        <v>23</v>
      </c>
      <c r="C13" t="s">
        <v>11</v>
      </c>
      <c r="D13" t="s">
        <v>12</v>
      </c>
      <c r="E13" t="s">
        <v>19</v>
      </c>
      <c r="F13">
        <v>233564</v>
      </c>
      <c r="G13" s="1">
        <v>10</v>
      </c>
      <c r="H13">
        <v>23861</v>
      </c>
      <c r="I13" s="1">
        <v>1978</v>
      </c>
      <c r="J13">
        <v>80782</v>
      </c>
      <c r="K13">
        <f t="shared" si="0"/>
        <v>0.34586665753283896</v>
      </c>
      <c r="L13">
        <v>80782</v>
      </c>
      <c r="M13">
        <f t="shared" si="1"/>
        <v>0.34586665753283896</v>
      </c>
    </row>
    <row r="14" spans="1:14" x14ac:dyDescent="0.35">
      <c r="A14">
        <f t="shared" si="2"/>
        <v>13</v>
      </c>
      <c r="B14" t="s">
        <v>24</v>
      </c>
      <c r="C14" t="s">
        <v>11</v>
      </c>
      <c r="D14" t="s">
        <v>17</v>
      </c>
      <c r="E14" t="s">
        <v>19</v>
      </c>
      <c r="F14">
        <v>165352</v>
      </c>
      <c r="G14" s="1">
        <v>6</v>
      </c>
      <c r="H14">
        <v>27559</v>
      </c>
      <c r="I14" s="1">
        <v>1982</v>
      </c>
      <c r="J14">
        <v>40700</v>
      </c>
      <c r="K14">
        <f t="shared" si="0"/>
        <v>0.24614156466205428</v>
      </c>
      <c r="L14">
        <v>40700</v>
      </c>
      <c r="M14">
        <f t="shared" si="1"/>
        <v>0.24614156466205428</v>
      </c>
    </row>
    <row r="15" spans="1:14" x14ac:dyDescent="0.35">
      <c r="A15">
        <f t="shared" si="2"/>
        <v>14</v>
      </c>
      <c r="B15" t="s">
        <v>36</v>
      </c>
      <c r="C15" t="s">
        <v>11</v>
      </c>
      <c r="D15" t="s">
        <v>17</v>
      </c>
      <c r="E15" t="s">
        <v>19</v>
      </c>
      <c r="F15">
        <v>92500</v>
      </c>
      <c r="G15" s="1">
        <v>4</v>
      </c>
      <c r="H15">
        <v>23125</v>
      </c>
      <c r="I15" s="1">
        <v>1981</v>
      </c>
    </row>
    <row r="16" spans="1:14" x14ac:dyDescent="0.35">
      <c r="A16">
        <f t="shared" si="2"/>
        <v>15</v>
      </c>
      <c r="B16" t="s">
        <v>25</v>
      </c>
      <c r="C16" t="s">
        <v>11</v>
      </c>
      <c r="D16" t="s">
        <v>12</v>
      </c>
      <c r="E16" t="s">
        <v>13</v>
      </c>
      <c r="F16">
        <v>89000</v>
      </c>
      <c r="G16" s="1">
        <v>4</v>
      </c>
      <c r="H16">
        <v>15000</v>
      </c>
      <c r="I16" s="1">
        <v>1969</v>
      </c>
      <c r="J16">
        <v>19976</v>
      </c>
      <c r="K16">
        <f t="shared" si="0"/>
        <v>0.22444943820224719</v>
      </c>
      <c r="L16">
        <v>14938</v>
      </c>
      <c r="M16">
        <f t="shared" si="1"/>
        <v>0.16784269662921347</v>
      </c>
    </row>
    <row r="17" spans="1:13" x14ac:dyDescent="0.35">
      <c r="A17">
        <f t="shared" si="2"/>
        <v>16</v>
      </c>
      <c r="B17" t="s">
        <v>26</v>
      </c>
      <c r="C17" t="s">
        <v>11</v>
      </c>
      <c r="D17" t="s">
        <v>27</v>
      </c>
      <c r="E17" t="s">
        <v>15</v>
      </c>
      <c r="F17">
        <v>156861</v>
      </c>
      <c r="G17" s="1">
        <v>10</v>
      </c>
      <c r="H17">
        <v>15686</v>
      </c>
      <c r="I17" s="1">
        <v>1988</v>
      </c>
      <c r="J17">
        <v>35211</v>
      </c>
      <c r="K17">
        <f t="shared" si="0"/>
        <v>0.22447262225792261</v>
      </c>
      <c r="L17">
        <v>35211</v>
      </c>
      <c r="M17">
        <f t="shared" si="1"/>
        <v>0.22447262225792261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Export020626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 Chen</cp:lastModifiedBy>
  <dcterms:created xsi:type="dcterms:W3CDTF">2026-02-06T22:23:37Z</dcterms:created>
  <dcterms:modified xsi:type="dcterms:W3CDTF">2026-02-09T21:19:18Z</dcterms:modified>
</cp:coreProperties>
</file>