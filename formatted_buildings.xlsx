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E:\Business\TOCOnnect\Code\Python Practice\"/>
    </mc:Choice>
  </mc:AlternateContent>
  <xr:revisionPtr revIDLastSave="0" documentId="13_ncr:1_{37553E0D-90CC-4EFD-B359-804E50664026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1" l="1"/>
  <c r="P3" i="1"/>
  <c r="R4" i="1"/>
  <c r="R5" i="1"/>
  <c r="R6" i="1"/>
  <c r="R7" i="1"/>
  <c r="R8" i="1"/>
  <c r="R2" i="1"/>
  <c r="P4" i="1"/>
  <c r="P5" i="1"/>
  <c r="P6" i="1"/>
  <c r="P7" i="1"/>
  <c r="P8" i="1"/>
  <c r="P2" i="1"/>
</calcChain>
</file>

<file path=xl/sharedStrings.xml><?xml version="1.0" encoding="utf-8"?>
<sst xmlns="http://schemas.openxmlformats.org/spreadsheetml/2006/main" count="55" uniqueCount="38">
  <si>
    <t>Address</t>
  </si>
  <si>
    <t>Leasing District</t>
  </si>
  <si>
    <t>Node/Municipality</t>
  </si>
  <si>
    <t>Total Building Area</t>
  </si>
  <si>
    <t>Office Area</t>
  </si>
  <si>
    <t>Number of Floors</t>
  </si>
  <si>
    <t>Typical Floor</t>
  </si>
  <si>
    <t>Number of Parking Stalls</t>
  </si>
  <si>
    <t>Building Type</t>
  </si>
  <si>
    <t>Year Built</t>
  </si>
  <si>
    <t>Parking Ratio (1 per)</t>
  </si>
  <si>
    <t>Leasing Profile</t>
  </si>
  <si>
    <t>Direct Available Area</t>
  </si>
  <si>
    <t>Direct Available Rate</t>
  </si>
  <si>
    <t>Total Available Area</t>
  </si>
  <si>
    <t>Total Available Rate</t>
  </si>
  <si>
    <t>Direct Asking Rate</t>
  </si>
  <si>
    <t>Total Additional Rent</t>
  </si>
  <si>
    <t>Gross Rent</t>
  </si>
  <si>
    <t>Property_ID</t>
  </si>
  <si>
    <t>1100 Burloak Dr</t>
  </si>
  <si>
    <t>5420 N Service Rd</t>
  </si>
  <si>
    <t>3390 S Service Rd</t>
  </si>
  <si>
    <t>3215 N Service Rd</t>
  </si>
  <si>
    <t>3310-3320 S Service Rd</t>
  </si>
  <si>
    <t>Burlington</t>
  </si>
  <si>
    <t>Oakville/Burlington</t>
  </si>
  <si>
    <t>B</t>
  </si>
  <si>
    <t>A</t>
  </si>
  <si>
    <t>C</t>
  </si>
  <si>
    <t>1550 Appleby Line</t>
  </si>
  <si>
    <t>1450 Appleby Line</t>
  </si>
  <si>
    <t>$14.50 - 15.50</t>
  </si>
  <si>
    <t>$15.00 - 18.00</t>
  </si>
  <si>
    <t>$17.75</t>
  </si>
  <si>
    <t>$26.00</t>
  </si>
  <si>
    <t>$15.95</t>
  </si>
  <si>
    <t>$12.00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</si>
</sst>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/>
    <xf numFmtId="0" fontId="0" fillId="0" borderId="0" xfId="0"/>
    <xf numFmtId="0" fontId="0" fillId="0" borderId="0" xfId="0"/>
    <xf numFmtId="1" fontId="0" fillId="0" borderId="0" xfId="0" applyNumberFormat="1"/>
    <xf numFmtId="0" fontId="0" fillId="0" borderId="0" xfId="0"/>
    <xf numFmtId="0" fontId="0" fillId="0" borderId="0" xfId="0"/>
    <xf numFmtId="1" fontId="0" fillId="0" borderId="0" xfId="0" applyNumberFormat="1"/>
    <xf numFmtId="0" fontId="0" fillId="0" borderId="0" xfId="0"/>
    <xf numFmtId="0" fontId="0" fillId="0" borderId="0" xfId="0"/>
    <xf numFmtId="1" fontId="0" fillId="0" borderId="0" xfId="0" applyNumberFormat="1"/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8"/>
  <sheetViews>
    <sheetView tabSelected="1" topLeftCell="B1" workbookViewId="0">
      <selection activeCell="S13" sqref="S13"/>
    </sheetView>
  </sheetViews>
  <sheetFormatPr defaultRowHeight="14.5" x14ac:dyDescent="0.35"/>
  <cols>
    <col min="1" max="1" width="5" customWidth="1"/>
    <col min="2" max="2" width="23.36328125" customWidth="1"/>
    <col min="3" max="3" width="13.36328125" customWidth="1"/>
    <col min="4" max="4" width="17.36328125" customWidth="1"/>
    <col min="5" max="5" width="16.08984375" customWidth="1"/>
    <col min="6" max="6" width="12.26953125" customWidth="1"/>
    <col min="7" max="7" width="8.6328125" customWidth="1"/>
    <col min="8" max="8" width="12.54296875" customWidth="1"/>
    <col min="12" max="12" width="7.08984375" customWidth="1"/>
    <col min="13" max="13" width="10.90625" customWidth="1"/>
    <col min="14" max="14" width="10.81640625" customWidth="1"/>
  </cols>
  <sheetData>
    <row r="1" spans="1:21" x14ac:dyDescent="0.35">
      <c r="A1" t="s">
        <v>19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/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  <c r="U1" s="1" t="s">
        <v>18</v>
      </c>
    </row>
    <row r="2" spans="1:21" x14ac:dyDescent="0.35">
      <c r="A2" s="1">
        <v>0</v>
      </c>
      <c r="B2" s="2" t="s">
        <v>31</v>
      </c>
      <c r="C2" s="3" t="s">
        <v>25</v>
      </c>
      <c r="D2" s="3" t="s">
        <v>26</v>
      </c>
      <c r="E2" s="4">
        <v>112711</v>
      </c>
      <c r="G2" s="5">
        <v>2</v>
      </c>
      <c r="H2" s="6">
        <v>56356</v>
      </c>
      <c r="J2" s="7" t="s">
        <v>27</v>
      </c>
      <c r="K2" s="8">
        <v>2001</v>
      </c>
      <c r="O2" s="9">
        <v>93947</v>
      </c>
      <c r="P2">
        <f>O2/E2</f>
        <v>0.83352112925978827</v>
      </c>
      <c r="Q2" s="10">
        <v>93947</v>
      </c>
      <c r="R2">
        <f>Q2/E2</f>
        <v>0.83352112925978827</v>
      </c>
      <c r="S2" s="12" t="s">
        <v>32</v>
      </c>
    </row>
    <row r="3" spans="1:21" s="10" customFormat="1" x14ac:dyDescent="0.35">
      <c r="A3" s="1">
        <v>1</v>
      </c>
      <c r="B3" s="10" t="s">
        <v>30</v>
      </c>
      <c r="C3" s="10" t="s">
        <v>25</v>
      </c>
      <c r="D3" s="10" t="s">
        <v>26</v>
      </c>
      <c r="E3" s="10">
        <v>112711</v>
      </c>
      <c r="G3" s="11">
        <v>2</v>
      </c>
      <c r="H3" s="10">
        <v>56356</v>
      </c>
      <c r="J3" s="10" t="s">
        <v>27</v>
      </c>
      <c r="K3" s="11">
        <v>2001</v>
      </c>
      <c r="O3" s="10">
        <v>93947</v>
      </c>
      <c r="P3" s="10">
        <f>O3/E3</f>
        <v>0.83352112925978827</v>
      </c>
      <c r="Q3" s="10">
        <v>93947</v>
      </c>
      <c r="R3" s="10">
        <f>Q3/E3</f>
        <v>0.83352112925978827</v>
      </c>
      <c r="S3" s="12" t="s">
        <v>32</v>
      </c>
    </row>
    <row r="4" spans="1:21" x14ac:dyDescent="0.35">
      <c r="A4" s="1">
        <v>2</v>
      </c>
      <c r="B4" s="2" t="s">
        <v>20</v>
      </c>
      <c r="C4" s="3" t="s">
        <v>25</v>
      </c>
      <c r="D4" s="3" t="s">
        <v>26</v>
      </c>
      <c r="E4" s="4">
        <v>123875</v>
      </c>
      <c r="G4" s="5">
        <v>7</v>
      </c>
      <c r="H4" s="6">
        <v>17696</v>
      </c>
      <c r="J4" s="7" t="s">
        <v>28</v>
      </c>
      <c r="K4" s="8">
        <v>1991</v>
      </c>
      <c r="O4" s="9">
        <v>25019</v>
      </c>
      <c r="P4" s="10">
        <f t="shared" ref="P4:P8" si="0">O4/E4</f>
        <v>0.20196972754793138</v>
      </c>
      <c r="Q4" s="10">
        <v>43348</v>
      </c>
      <c r="R4" s="10">
        <f t="shared" ref="R4:R8" si="1">Q4/E4</f>
        <v>0.34993340060544903</v>
      </c>
      <c r="S4" s="12" t="s">
        <v>33</v>
      </c>
    </row>
    <row r="5" spans="1:21" x14ac:dyDescent="0.35">
      <c r="A5" s="1">
        <v>3</v>
      </c>
      <c r="B5" s="2" t="s">
        <v>21</v>
      </c>
      <c r="C5" s="3" t="s">
        <v>25</v>
      </c>
      <c r="D5" s="3" t="s">
        <v>26</v>
      </c>
      <c r="E5" s="4">
        <v>137796</v>
      </c>
      <c r="G5" s="5">
        <v>6</v>
      </c>
      <c r="H5" s="6">
        <v>23060</v>
      </c>
      <c r="J5" s="7" t="s">
        <v>27</v>
      </c>
      <c r="K5" s="8">
        <v>1993</v>
      </c>
      <c r="O5" s="9">
        <v>55397</v>
      </c>
      <c r="P5" s="10">
        <f t="shared" si="0"/>
        <v>0.40202182937095415</v>
      </c>
      <c r="Q5" s="10">
        <v>55397</v>
      </c>
      <c r="R5" s="10">
        <f t="shared" si="1"/>
        <v>0.40202182937095415</v>
      </c>
      <c r="S5" s="12" t="s">
        <v>34</v>
      </c>
    </row>
    <row r="6" spans="1:21" x14ac:dyDescent="0.35">
      <c r="A6" s="1">
        <v>4</v>
      </c>
      <c r="B6" s="2" t="s">
        <v>22</v>
      </c>
      <c r="C6" s="3" t="s">
        <v>25</v>
      </c>
      <c r="D6" s="3" t="s">
        <v>26</v>
      </c>
      <c r="E6" s="4">
        <v>61697</v>
      </c>
      <c r="G6" s="5">
        <v>4</v>
      </c>
      <c r="H6" s="6">
        <v>18100</v>
      </c>
      <c r="J6" s="7" t="s">
        <v>29</v>
      </c>
      <c r="K6" s="8">
        <v>1980</v>
      </c>
      <c r="O6" s="9">
        <v>28447</v>
      </c>
      <c r="P6" s="10">
        <f t="shared" si="0"/>
        <v>0.46107590320436975</v>
      </c>
      <c r="Q6" s="10">
        <v>28447</v>
      </c>
      <c r="R6" s="10">
        <f t="shared" si="1"/>
        <v>0.46107590320436975</v>
      </c>
      <c r="S6" s="12" t="s">
        <v>35</v>
      </c>
    </row>
    <row r="7" spans="1:21" x14ac:dyDescent="0.35">
      <c r="A7" s="1">
        <v>5</v>
      </c>
      <c r="B7" s="2" t="s">
        <v>23</v>
      </c>
      <c r="C7" s="3" t="s">
        <v>25</v>
      </c>
      <c r="D7" s="3" t="s">
        <v>26</v>
      </c>
      <c r="E7" s="4">
        <v>20255</v>
      </c>
      <c r="G7" s="5">
        <v>2</v>
      </c>
      <c r="H7" s="6">
        <v>10128</v>
      </c>
      <c r="J7" s="7" t="s">
        <v>29</v>
      </c>
      <c r="K7" s="8">
        <v>1966</v>
      </c>
      <c r="O7" s="9">
        <v>16002</v>
      </c>
      <c r="P7" s="10">
        <f t="shared" si="0"/>
        <v>0.79002715378918786</v>
      </c>
      <c r="Q7" s="10">
        <v>16002</v>
      </c>
      <c r="R7" s="10">
        <f t="shared" si="1"/>
        <v>0.79002715378918786</v>
      </c>
      <c r="S7" s="12" t="s">
        <v>36</v>
      </c>
    </row>
    <row r="8" spans="1:21" x14ac:dyDescent="0.35">
      <c r="A8" s="1">
        <v>6</v>
      </c>
      <c r="B8" s="2" t="s">
        <v>24</v>
      </c>
      <c r="C8" s="3" t="s">
        <v>25</v>
      </c>
      <c r="D8" s="3" t="s">
        <v>26</v>
      </c>
      <c r="E8" s="4">
        <v>77435</v>
      </c>
      <c r="G8" s="5">
        <v>3</v>
      </c>
      <c r="H8" s="6">
        <v>25811</v>
      </c>
      <c r="J8" s="7" t="s">
        <v>27</v>
      </c>
      <c r="K8" s="8">
        <v>1986</v>
      </c>
      <c r="O8" s="9">
        <v>39392</v>
      </c>
      <c r="P8" s="10">
        <f t="shared" si="0"/>
        <v>0.50871053141344358</v>
      </c>
      <c r="Q8" s="10">
        <v>39392</v>
      </c>
      <c r="R8" s="10">
        <f t="shared" si="1"/>
        <v>0.50871053141344358</v>
      </c>
      <c r="S8" s="12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Gia Chen</cp:lastModifiedBy>
  <dcterms:created xsi:type="dcterms:W3CDTF">2025-10-16T20:58:38Z</dcterms:created>
  <dcterms:modified xsi:type="dcterms:W3CDTF">2025-12-11T16:36:06Z</dcterms:modified>
</cp:coreProperties>
</file>